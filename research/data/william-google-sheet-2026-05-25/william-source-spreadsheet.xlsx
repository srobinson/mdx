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Fixed Float Deposit" sheetId="2" r:id="rId6"/>
    <sheet state="visible" name="Sheet5" sheetId="3" r:id="rId7"/>
    <sheet state="visible" name="0xaadd5f" sheetId="4" r:id="rId8"/>
    <sheet state="visible" name="0x1c0b5b8" sheetId="5" r:id="rId9"/>
    <sheet state="visible" name="0x055e6b08" sheetId="6" r:id="rId10"/>
    <sheet state="visible" name="0xd20a9" sheetId="7" r:id="rId11"/>
    <sheet state="visible" name="0xa30e54c" sheetId="8" r:id="rId12"/>
    <sheet state="visible" name="0xdFb05" sheetId="9" r:id="rId13"/>
    <sheet state="visible" name="0x9Dc08" sheetId="10" r:id="rId14"/>
    <sheet state="visible" name="0x265626" sheetId="11" r:id="rId15"/>
    <sheet state="visible" name="0xFA5F6e" sheetId="12" r:id="rId16"/>
    <sheet state="visible" name="0xf40c0" sheetId="13" r:id="rId17"/>
  </sheets>
  <definedNames/>
  <calcPr/>
</workbook>
</file>

<file path=xl/sharedStrings.xml><?xml version="1.0" encoding="utf-8"?>
<sst xmlns="http://schemas.openxmlformats.org/spreadsheetml/2006/main" count="197" uniqueCount="107">
  <si>
    <t>Total Value</t>
  </si>
  <si>
    <t>Total ETH</t>
  </si>
  <si>
    <t>Total BNB</t>
  </si>
  <si>
    <t>Address</t>
  </si>
  <si>
    <t>Date</t>
  </si>
  <si>
    <t>Transaction</t>
  </si>
  <si>
    <t>sent to</t>
  </si>
  <si>
    <t>Value</t>
  </si>
  <si>
    <t>Amount</t>
  </si>
  <si>
    <t>Token</t>
  </si>
  <si>
    <t>0x655a2a55bc724718bca78b7645347f448d1ca52b9f051ac3b6b8f2e36651d204</t>
  </si>
  <si>
    <t>0xb5e309a09f479a87f71b1258380d8b8e62c84163364b3b06762927c476c4d655</t>
  </si>
  <si>
    <t>0x662e469715056d9501da5184ec4a2a466b05b3fa656c73d0fb067598b88013c2</t>
  </si>
  <si>
    <t>0x2ed79b067f3afa2e636ae82f8c0c6cbd59d504aa7f25f146a4d22ef2186fc157</t>
  </si>
  <si>
    <t>0x91a3d5976df4c7fb6d000a081855b4fc217d61d6e1b71f5c99205e7dc7c2f63f</t>
  </si>
  <si>
    <t>0xc2235fdf93d6ed97f17ea248d40fbc6c910cb502a63c75f0bb131bbb0fb465a8</t>
  </si>
  <si>
    <t>0x931ebd9671d532e81ef15211ce16e193615765747e4a906d9dabb278f792f2f3</t>
  </si>
  <si>
    <t>0x0fa037ee4e0a99004dd98ca4827a9aaa9e45e56acd2b74334f09b16ad57050c3</t>
  </si>
  <si>
    <t>0x266ef6a62efc7fc3e6e8c9e4c0d31f844208429d9e3b58f5d998f8da58c230d1</t>
  </si>
  <si>
    <t>0xa2dc0cff0e555bf26d8044e39e92071e69587e62bfe4128f827b0eb9bdfc8681</t>
  </si>
  <si>
    <t>0x72d855932534ca55ae820f5ed17de8ac729b1f05b093352b5bca19dcf868f26f</t>
  </si>
  <si>
    <t>0xd5a730adbe95e809d765372997260dd7057e959399e9b41d415816218de3686d</t>
  </si>
  <si>
    <t>0x3f58b9738767a04a8d4701052cbfa378f7cdf9d8a0cfac34b43b0d62f766a7e8</t>
  </si>
  <si>
    <t>0x85955c171d41591fb52b85f3e4135704f2afb4305ea9ceee1de1ba503703e7f1</t>
  </si>
  <si>
    <t>On xx my 10 hot wallets were exploited and the majority of it went to the Thorchain router, however, some money were directly and indirectly (sent to another wallet then deposited) deposited into Fixed Float</t>
  </si>
  <si>
    <t>All My wallets</t>
  </si>
  <si>
    <t>0x1c0b5b8d36587d0516839df7ebfb49ad8f3c543c</t>
  </si>
  <si>
    <t>0x055e6b081f175db1170350ba4f23e3a8e0895492</t>
  </si>
  <si>
    <t>0xd20a9ed00e37fdaef0a064bc32feb10845053f09</t>
  </si>
  <si>
    <t>0xa30e54cb3593c6afca653621c4d3ee2105f015aa</t>
  </si>
  <si>
    <t>0xdFb05c98320D126Bcc74F6EB7960E99669dcd49a</t>
  </si>
  <si>
    <t>0x9Dc08Da4cBF74F81CFfb54CECbD8fDf6554E1D34</t>
  </si>
  <si>
    <t>0x2656269bb878ca0c4250a0df4c15a9cfca0c21ac</t>
  </si>
  <si>
    <t>0xFA5F6eD82Ae1EAC484B91cCDE42fe7d64cb68D03</t>
  </si>
  <si>
    <t>0xf40c09C782C74e932b81473ae68B078F31a358f6</t>
  </si>
  <si>
    <t>Platforms money was sent to</t>
  </si>
  <si>
    <t>https://platform.arkhamintelligence.com/visualizer/entity/0xaadd5f9d0fa1411F612d75336EEe5eb87092f1F0,0x1c0b5b8D36587d0516839df7EbFB49AD8F3c543c,0x055e6b081F175dB1170350Ba4f23E3a8E0895492,0xd20A9Ed00E37fdaEF0a064Bc32feB10845053F09,0xa30E54Cb3593c6afCA653621C4D3Ee2105F015aa,0xdFb05c98320D126Bcc74F6EB7960E99669dcd49a,0x9Dc08Da4cBF74F81CFfb54CECbD8fDf6554E1D34,0x2656269BB878cA0c4250A0DF4C15A9CFca0C21AC,0xFA5F6eD82Ae1EAC484B91cCDE42fe7d64cb68D03,0xf40c09C782C74e932b81473ae68B078F31a358f6?fbclid=IwAR3n8Zh-GYgyHRfDSksJm_D-pdT4jCjjlg9gwiFx-Q2ZPZ0Caxc3Qzz9n8M&amp;flow=all&amp;positions=%7B%7D&amp;sortDir=desc&amp;sortKey=time&amp;timeGte=1688774400000&amp;usdGte=0.1</t>
  </si>
  <si>
    <t>Fixed FLoat</t>
  </si>
  <si>
    <t>https://etherscan.io/tx/0xaa49f832a539cabee457ca3fc2e3e47e70ca7e364ba48161aae8c4e788d07b33</t>
  </si>
  <si>
    <t>Deposit to Fixed Float</t>
  </si>
  <si>
    <t>My Wallet</t>
  </si>
  <si>
    <t>Time</t>
  </si>
  <si>
    <t>Amount (ETH)</t>
  </si>
  <si>
    <t>TX</t>
  </si>
  <si>
    <t>Fixed Float Wallet</t>
  </si>
  <si>
    <t>0x4E5B2e1dc63F6b91cb6Cd759936495434C7e972F</t>
  </si>
  <si>
    <t>0xa30E54Cb3593c6afCA653621C4D3Ee2105F015aa</t>
  </si>
  <si>
    <t>21 Jul, 2023 19:15:47 UTC</t>
  </si>
  <si>
    <t>https://etherscan.io/tx/0x931ebd9671d532e81ef15211ce16e193615765747e4a906d9dabb278f792f2f3</t>
  </si>
  <si>
    <t>0xbdC4b2D85d9DCC42C3799b4569bd1D7D25D29C03</t>
  </si>
  <si>
    <t xml:space="preserve">
0x055e6b081F175dB1170350Ba4f23E3a8E0895492</t>
  </si>
  <si>
    <t>21 Jul, 2023 14:06 UTC</t>
  </si>
  <si>
    <t>https://etherscan.io/tx/0x91a3d5976df4c7fb6d000a081855b4fc217d61d6e1b71f5c99205e7dc7c2f63f</t>
  </si>
  <si>
    <t>0x4EC986035B635D09474fC390AcDF5c107DDa4c70</t>
  </si>
  <si>
    <t>0x2656269BB878cA0c4250A0DF4C15A9CFca0C21AC</t>
  </si>
  <si>
    <t>21 Jul, 2023 18:55:47 UTC</t>
  </si>
  <si>
    <t>https://etherscan.io/tx/0x72d855932534ca55ae820f5ed17de8ac729b1f05b093352b5bca19dcf868f26f</t>
  </si>
  <si>
    <t>0x09066E7857D3a9a53c9142f8a7eFFcBc7989F1B5</t>
  </si>
  <si>
    <t xml:space="preserve">
0x1c0b5b8D36587d0516839df7EbFB49AD8F3c543c</t>
  </si>
  <si>
    <t>22 Jul, 2023 09:52:11 UTC</t>
  </si>
  <si>
    <t>https://etherscan.io/tx/0xb5e309a09f479a87f71b1258380d8b8e62c84163364b3b06762927c476c4d655</t>
  </si>
  <si>
    <t>0x1c0b5b8D36587d0516839df7EbFB49AD8F3c543c</t>
  </si>
  <si>
    <t>Total</t>
  </si>
  <si>
    <t>ThorChain</t>
  </si>
  <si>
    <t>https://app.thoryield.com/transactions?address=bc1qwxwl5l209je4c2ycr8hc7dq7jqfptk23esmn5s&amp;page=1%03%03&amp;fbclid=IwAR2scMg2EbpjRxN5i92aaqiwxuxVfpNIBEmyTD-iyVwzsDErcTjHAeAomi4</t>
  </si>
  <si>
    <t xml:space="preserve">btc wallets with stolen funds in it where they transered money </t>
  </si>
  <si>
    <t>bc1qwxwl5l209je4c2ycr8hc7dq7jqfptk23esmn5s</t>
  </si>
  <si>
    <t>https://platform.arkhamintelligence.com/visualizer/entity/bc1qwxwl5l209je4c2ycr8hc7dq7jqfptk23esmn5s?flow=all&amp;positions=%7B%7D&amp;sortDir=desc&amp;sortKey=time&amp;usdGte=0.1</t>
  </si>
  <si>
    <t>https://viewblock.io/thorchain/address/bc1qtunad8gttrw69nwxwhahm0973r6gqfecdzdajx?fbclid=IwAR3wYlTXVLQJapAe3RVA3reeQIvIn3vAo1ps_FxdLa21v0stOVVhd0iZ6Qk</t>
  </si>
  <si>
    <t>wasabi wallet tracing</t>
  </si>
  <si>
    <t>https://dl.acm.org/doi/10.1145/3528580.3528585</t>
  </si>
  <si>
    <t>https://pure.hw.ac.uk/ws/portalfiles/portal/55850474/TirMaaEroJus_EICC_2022_camera_ready.pdf</t>
  </si>
  <si>
    <t>https://bitcoinist.com/can-chainalysis-break-wasabi-wallets-coinjoins/#:~:text=Apparently%2C%20in%20Wasabi's%20CoinJoin%20system,that%20Wasabi%20Wallet%20used%20twice.</t>
  </si>
  <si>
    <t>Transations</t>
  </si>
  <si>
    <t>https://debank.com/profile/0xaadd5f9d0fa1411f612d75336eee5eb87092f1f0/history?mode=analysis</t>
  </si>
  <si>
    <t>0xaadd5f9d0fa1411f612d75336eee5eb87092f1f0</t>
  </si>
  <si>
    <t>ETH</t>
  </si>
  <si>
    <t>https://etherscan.io/tx/0x655a2a55bc724718bca78b7645347f448d1ca52b9f051ac3b6b8f2e36651d204</t>
  </si>
  <si>
    <t>depositWithExpiry
THORChain 0xD37BbE5744D730a1d98d8DC97c42F0Ca46aD7146</t>
  </si>
  <si>
    <t>https://debank.com/profile/0x1c0b5b8d36587d0516839df7ebfb49ad8f3c543c/history</t>
  </si>
  <si>
    <t>Sent To</t>
  </si>
  <si>
    <t>0x6a7E9ed15eA2C1C7787E68F2CA2dF68379ed437e</t>
  </si>
  <si>
    <t>https://etherscan.io/tx/0x662e469715056d9501da5184ec4a2a466b05b3fa656c73d0fb067598b88013c2</t>
  </si>
  <si>
    <t>0xeEC35fd50B5E7344b3E1A7F4384b3Cb9365e204A</t>
  </si>
  <si>
    <t>https://etherscan.io/tx/0x2ed79b067f3afa2e636ae82f8c0c6cbd59d504aa7f25f146a4d22ef2186fc157</t>
  </si>
  <si>
    <t>https://debank.com/profile/0x055e6b081f175db1170350ba4f23e3a8e0895492/history</t>
  </si>
  <si>
    <t>Sent to</t>
  </si>
  <si>
    <t>0x4ec986035b635d09474fc390acdf5c107dda4c70</t>
  </si>
  <si>
    <t>https://debank.com/profile/0xd20a9ed00e37fdaef0a064bc32feb10845053f09/history</t>
  </si>
  <si>
    <t>To</t>
  </si>
  <si>
    <t>https://etherscan.io/tx/0xc2235fdf93d6ed97f17ea248d40fbc6c910cb502a63c75f0bb131bbb0fb465a8</t>
  </si>
  <si>
    <t>0xb7917ee3520c4aa56add5d55f6026edeebe99d02</t>
  </si>
  <si>
    <t>https://debank.com/profile/0xa30e54cb3593c6afca653621c4d3ee2105f015aa/history?token=eth_ETH_eth</t>
  </si>
  <si>
    <t>https://debank.com/profile/0xdfb05c98320d126bcc74f6eb7960e99669dcd49a/history?token=eth_ETH_eth</t>
  </si>
  <si>
    <t>https://etherscan.io/tx/0x0fa037ee4e0a99004dd98ca4827a9aaa9e45e56acd2b74334f09b16ad57050c3</t>
  </si>
  <si>
    <t>0xB7917eE3520C4AA56ADd5d55f6026EdeEBE99d02</t>
  </si>
  <si>
    <t>https://debank.com/profile/0x9dc08da4cbf74f81cffb54cecbd8fdf6554e1d34/history</t>
  </si>
  <si>
    <t>https://bscscan.com/tx/0x266ef6a62efc7fc3e6e8c9e4c0d31f844208429d9e3b58f5d998f8da58c230d1</t>
  </si>
  <si>
    <t>0x08178b429CA29853fa33014F635D12bD7f706297</t>
  </si>
  <si>
    <t>BNB</t>
  </si>
  <si>
    <t>https://etherscan.io/tx/0xa2dc0cff0e555bf26d8044e39e92071e69587e62bfe4128f827b0eb9bdfc8681</t>
  </si>
  <si>
    <t>https://debank.com/profile/0x2656269bb878ca0c4250a0df4c15a9cfca0c21ac/history?token=</t>
  </si>
  <si>
    <t>https://etherscan.io/tx/0xd5a730adbe95e809d765372997260dd7057e959399e9b41d415816218de3686d</t>
  </si>
  <si>
    <t>https://debank.com/profile/0xfa5f6ed82ae1eac484b91ccde42fe7d64cb68d03/history</t>
  </si>
  <si>
    <t>https://etherscan.io/tx/0x3f58b9738767a04a8d4701052cbfa378f7cdf9d8a0cfac34b43b0d62f766a7e8</t>
  </si>
  <si>
    <t>https://debank.com/profile/0xf40c09c782c74e932b81473ae68b078f31a358f6/history</t>
  </si>
  <si>
    <t>https://etherscan.io/tx/0x85955c171d41591fb52b85f3e4135704f2afb4305ea9ceee1de1ba503703e7f1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</si>
</sst>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yyyy/mm/dd h:mm:ss"/>
  </numFmts>
  <fonts count="12">
    <font>
      <sz val="10.0"/>
      <color rgb="FF000000"/>
      <name val="Arial"/>
      <scheme val="minor"/>
    </font>
    <font>
      <color theme="1"/>
      <name val="Arial"/>
      <scheme val="minor"/>
    </font>
    <font>
      <u/>
      <color rgb="FF0000FF"/>
    </font>
    <font>
      <u/>
      <color rgb="FF0000FF"/>
    </font>
    <font>
      <u/>
      <color rgb="FF0000FF"/>
    </font>
    <font>
      <b/>
      <color theme="1"/>
      <name val="Arial"/>
      <scheme val="minor"/>
    </font>
    <font>
      <color rgb="FF000000"/>
      <name val="Arial"/>
    </font>
    <font>
      <sz val="9.0"/>
      <color rgb="FF8B93A7"/>
      <name val="Lato"/>
    </font>
    <font>
      <u/>
      <color rgb="FF8B93A7"/>
      <name val="Docs-Lato"/>
    </font>
    <font>
      <color rgb="FF19233C"/>
      <name val="Lato"/>
    </font>
    <font>
      <sz val="9.0"/>
      <color rgb="FF000000"/>
      <name val="&quot;Google Sans&quot;"/>
    </font>
    <font>
      <sz val="11.0"/>
      <color rgb="FF212529"/>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0" xfId="0" applyFont="1"/>
    <xf borderId="0" fillId="0" fontId="1" numFmtId="165" xfId="0" applyFont="1" applyNumberFormat="1"/>
    <xf borderId="0" fillId="0" fontId="2" numFmtId="0" xfId="0" applyFont="1"/>
    <xf borderId="0" fillId="0" fontId="1" numFmtId="4" xfId="0" applyFont="1" applyNumberFormat="1"/>
    <xf borderId="0" fillId="0" fontId="1" numFmtId="165" xfId="0" applyAlignment="1" applyFont="1" applyNumberFormat="1">
      <alignment readingOrder="0"/>
    </xf>
    <xf borderId="0" fillId="0" fontId="3" numFmtId="0" xfId="0" applyAlignment="1" applyFont="1">
      <alignment readingOrder="0"/>
    </xf>
    <xf borderId="0" fillId="0" fontId="1" numFmtId="164" xfId="0" applyAlignment="1" applyFont="1" applyNumberFormat="1">
      <alignment readingOrder="0"/>
    </xf>
    <xf borderId="0" fillId="0" fontId="4" numFmtId="0" xfId="0" applyAlignment="1" applyFont="1">
      <alignment readingOrder="0"/>
    </xf>
    <xf borderId="0" fillId="0" fontId="1" numFmtId="0" xfId="0" applyFont="1"/>
    <xf borderId="0" fillId="0" fontId="5" numFmtId="0" xfId="0" applyAlignment="1" applyFont="1">
      <alignment readingOrder="0"/>
    </xf>
    <xf borderId="0" fillId="0" fontId="5" numFmtId="0" xfId="0" applyFont="1"/>
    <xf borderId="0" fillId="2" fontId="6" numFmtId="164" xfId="0" applyAlignment="1" applyFill="1" applyFont="1" applyNumberFormat="1">
      <alignment horizontal="left" readingOrder="0"/>
    </xf>
    <xf borderId="0" fillId="2" fontId="7" numFmtId="0" xfId="0" applyAlignment="1" applyFont="1">
      <alignment readingOrder="0"/>
    </xf>
    <xf borderId="0" fillId="0" fontId="8" numFmtId="0" xfId="0" applyAlignment="1" applyFont="1">
      <alignment horizontal="left" readingOrder="0"/>
    </xf>
    <xf borderId="0" fillId="2" fontId="9" numFmtId="0" xfId="0" applyAlignment="1" applyFont="1">
      <alignment horizontal="center" readingOrder="0" shrinkToFit="0" wrapText="0"/>
    </xf>
    <xf borderId="0" fillId="2" fontId="7" numFmtId="165" xfId="0" applyAlignment="1" applyFont="1" applyNumberFormat="1">
      <alignment readingOrder="0"/>
    </xf>
    <xf borderId="0" fillId="2" fontId="9" numFmtId="0" xfId="0" applyAlignment="1" applyFont="1">
      <alignment readingOrder="0" shrinkToFit="0" wrapText="0"/>
    </xf>
    <xf borderId="0" fillId="2" fontId="9" numFmtId="164" xfId="0" applyAlignment="1" applyFont="1" applyNumberFormat="1">
      <alignment readingOrder="0" shrinkToFit="0" wrapText="0"/>
    </xf>
    <xf borderId="0" fillId="0" fontId="10" numFmtId="0" xfId="0" applyAlignment="1" applyFont="1">
      <alignment readingOrder="0"/>
    </xf>
    <xf borderId="0" fillId="0" fontId="1" numFmtId="0" xfId="0" applyAlignment="1" applyFont="1">
      <alignment readingOrder="0"/>
    </xf>
    <xf borderId="0" fillId="2" fontId="11" numFmtId="0" xfId="0" applyAlignment="1" applyFont="1">
      <alignment readingOrder="0"/>
    </xf>
    <xf borderId="0" fillId="2" fontId="9" numFmtId="4" xfId="0" applyAlignment="1" applyFont="1" applyNumberFormat="1">
      <alignment readingOrder="0" shrinkToFit="0" wrapText="0"/>
    </xf>
    <xf borderId="0" fillId="2" fontId="6" numFmtId="4" xfId="0" applyAlignment="1" applyFont="1" applyNumberFormat="1">
      <alignment horizontal="left" readingOrder="0"/>
    </xf>
    <xf borderId="0" fillId="2" fontId="6" numFmtId="0" xfId="0" applyAlignment="1" applyFont="1">
      <alignment horizontal="left" readingOrder="0"/>
    </xf>
    <xf borderId="0" fillId="2" fontId="9" numFmtId="164" xfId="0" applyAlignment="1" applyFont="1" applyNumberFormat="1">
      <alignment horizontal="right" readingOrder="0"/>
    </xf>
    <xf borderId="0" fillId="2" fontId="9" numFmtId="164" xfId="0" applyAlignment="1" applyFont="1" applyNumberFormat="1">
      <alignment horizontal="right" readingOrder="0" shrinkToFit="0" wrapText="0"/>
    </xf>
    <xf borderId="0" fillId="0" fontId="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l.acm.org/doi/10.1145/3528580.3528585" TargetMode="External"/><Relationship Id="rId10" Type="http://schemas.openxmlformats.org/officeDocument/2006/relationships/hyperlink" Target="https://viewblock.io/thorchain/address/bc1qtunad8gttrw69nwxwhahm0973r6gqfecdzdajx?fbclid=IwAR3wYlTXVLQJapAe3RVA3reeQIvIn3vAo1ps_FxdLa21v0stOVVhd0iZ6Qk" TargetMode="External"/><Relationship Id="rId13" Type="http://schemas.openxmlformats.org/officeDocument/2006/relationships/hyperlink" Target="https://bitcoinist.com/can-chainalysis-break-wasabi-wallets-coinjoins/" TargetMode="External"/><Relationship Id="rId12" Type="http://schemas.openxmlformats.org/officeDocument/2006/relationships/hyperlink" Target="https://pure.hw.ac.uk/ws/portalfiles/portal/55850474/TirMaaEroJus_EICC_2022_camera_ready.pdf" TargetMode="External"/><Relationship Id="rId1" Type="http://schemas.openxmlformats.org/officeDocument/2006/relationships/hyperlink" Target="https://platform.arkhamintelligence.com/visualizer/entity/0xaadd5f9d0fa1411F612d75336EEe5eb87092f1F0,0x1c0b5b8D36587d0516839df7EbFB49AD8F3c543c,0x055e6b081F175dB1170350Ba4f23E3a8E0895492,0xd20A9Ed00E37fdaEF0a064Bc32feB10845053F09,0xa30E54Cb3593c6afCA653621C4D3Ee2105F015aa,0xdFb05c98320D126Bcc74F6EB7960E99669dcd49a,0x9Dc08Da4cBF74F81CFfb54CECbD8fDf6554E1D34,0x2656269BB878cA0c4250A0DF4C15A9CFca0C21AC,0xFA5F6eD82Ae1EAC484B91cCDE42fe7d64cb68D03,0xf40c09C782C74e932b81473ae68B078F31a358f6?fbclid=IwAR3n8Zh-GYgyHRfDSksJm_D-pdT4jCjjlg9gwiFx-Q2ZPZ0Caxc3Qzz9n8M&amp;flow=all&amp;positions=%7B%7D&amp;sortDir=desc&amp;sortKey=time&amp;timeGte=1688774400000&amp;usdGte=0.1" TargetMode="External"/><Relationship Id="rId2" Type="http://schemas.openxmlformats.org/officeDocument/2006/relationships/hyperlink" Target="https://etherscan.io/tx/0xaa49f832a539cabee457ca3fc2e3e47e70ca7e364ba48161aae8c4e788d07b33" TargetMode="External"/><Relationship Id="rId3" Type="http://schemas.openxmlformats.org/officeDocument/2006/relationships/hyperlink" Target="https://platform.arkhamintelligence.com/explorer/address/0xa30E54Cb3593c6afCA653621C4D3Ee2105F015aa" TargetMode="External"/><Relationship Id="rId4" Type="http://schemas.openxmlformats.org/officeDocument/2006/relationships/hyperlink" Target="https://etherscan.io/tx/0x931ebd9671d532e81ef15211ce16e193615765747e4a906d9dabb278f792f2f3" TargetMode="External"/><Relationship Id="rId9" Type="http://schemas.openxmlformats.org/officeDocument/2006/relationships/hyperlink" Target="https://platform.arkhamintelligence.com/visualizer/entity/bc1qwxwl5l209je4c2ycr8hc7dq7jqfptk23esmn5s?flow=all&amp;positions=%7B%7D&amp;sortDir=desc&amp;sortKey=time&amp;usdGte=0.1" TargetMode="External"/><Relationship Id="rId14" Type="http://schemas.openxmlformats.org/officeDocument/2006/relationships/drawing" Target="../drawings/drawing1.xml"/><Relationship Id="rId5" Type="http://schemas.openxmlformats.org/officeDocument/2006/relationships/hyperlink" Target="https://etherscan.io/tx/0x91a3d5976df4c7fb6d000a081855b4fc217d61d6e1b71f5c99205e7dc7c2f63f" TargetMode="External"/><Relationship Id="rId6" Type="http://schemas.openxmlformats.org/officeDocument/2006/relationships/hyperlink" Target="https://etherscan.io/tx/0x72d855932534ca55ae820f5ed17de8ac729b1f05b093352b5bca19dcf868f26f" TargetMode="External"/><Relationship Id="rId7" Type="http://schemas.openxmlformats.org/officeDocument/2006/relationships/hyperlink" Target="https://etherscan.io/tx/0xb5e309a09f479a87f71b1258380d8b8e62c84163364b3b06762927c476c4d655" TargetMode="External"/><Relationship Id="rId8" Type="http://schemas.openxmlformats.org/officeDocument/2006/relationships/hyperlink" Target="https://app.thoryield.com/transactions?address=bc1qwxwl5l209je4c2ycr8hc7dq7jqfptk23esmn5s&amp;page=1%03%03&amp;fbclid=IwAR2scMg2EbpjRxN5i92aaqiwxuxVfpNIBEmyTD-iyVwzsDErcTjHAeAomi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bank.com/profile/0xaadd5f9d0fa1411f612d75336eee5eb87092f1f0/history?mode=analysis" TargetMode="External"/><Relationship Id="rId2" Type="http://schemas.openxmlformats.org/officeDocument/2006/relationships/hyperlink" Target="https://etherscan.io/tx/0x655a2a55bc724718bca78b7645347f448d1ca52b9f051ac3b6b8f2e36651d204"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bank.com/profile/0x1c0b5b8d36587d0516839df7ebfb49ad8f3c543c/history" TargetMode="External"/><Relationship Id="rId2" Type="http://schemas.openxmlformats.org/officeDocument/2006/relationships/hyperlink" Target="https://etherscan.io/tx/0xb5e309a09f479a87f71b1258380d8b8e62c84163364b3b06762927c476c4d655" TargetMode="External"/><Relationship Id="rId3" Type="http://schemas.openxmlformats.org/officeDocument/2006/relationships/hyperlink" Target="https://etherscan.io/tx/0x662e469715056d9501da5184ec4a2a466b05b3fa656c73d0fb067598b88013c2" TargetMode="External"/><Relationship Id="rId4" Type="http://schemas.openxmlformats.org/officeDocument/2006/relationships/hyperlink" Target="https://etherscan.io/tx/0x2ed79b067f3afa2e636ae82f8c0c6cbd59d504aa7f25f146a4d22ef2186fc157"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bank.com/profile/0x055e6b081f175db1170350ba4f23e3a8e0895492/history" TargetMode="External"/><Relationship Id="rId2" Type="http://schemas.openxmlformats.org/officeDocument/2006/relationships/hyperlink" Target="https://etherscan.io/tx/0x91a3d5976df4c7fb6d000a081855b4fc217d61d6e1b71f5c99205e7dc7c2f63f"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bank.com/profile/0xd20a9ed00e37fdaef0a064bc32feb10845053f09/history" TargetMode="External"/><Relationship Id="rId2" Type="http://schemas.openxmlformats.org/officeDocument/2006/relationships/hyperlink" Target="https://etherscan.io/tx/0xc2235fdf93d6ed97f17ea248d40fbc6c910cb502a63c75f0bb131bbb0fb465a8"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ebank.com/profile/0xa30e54cb3593c6afca653621c4d3ee2105f015aa/history?token=eth_ETH_eth" TargetMode="External"/><Relationship Id="rId2" Type="http://schemas.openxmlformats.org/officeDocument/2006/relationships/hyperlink" Target="https://etherscan.io/tx/0x931ebd9671d532e81ef15211ce16e193615765747e4a906d9dabb278f792f2f3"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ebank.com/profile/0xdfb05c98320d126bcc74f6eb7960e99669dcd49a/history?token=eth_ETH_eth" TargetMode="External"/><Relationship Id="rId2" Type="http://schemas.openxmlformats.org/officeDocument/2006/relationships/hyperlink" Target="https://etherscan.io/tx/0x0fa037ee4e0a99004dd98ca4827a9aaa9e45e56acd2b74334f09b16ad57050c3"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ebank.com/profile/0x9dc08da4cbf74f81cffb54cecbd8fdf6554e1d34/history" TargetMode="External"/><Relationship Id="rId2" Type="http://schemas.openxmlformats.org/officeDocument/2006/relationships/hyperlink" Target="https://bscscan.com/tx/0x266ef6a62efc7fc3e6e8c9e4c0d31f844208429d9e3b58f5d998f8da58c230d1" TargetMode="External"/><Relationship Id="rId3" Type="http://schemas.openxmlformats.org/officeDocument/2006/relationships/hyperlink" Target="https://etherscan.io/tx/0xa2dc0cff0e555bf26d8044e39e92071e69587e62bfe4128f827b0eb9bdfc868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bank.com/profile/0x2656269bb878ca0c4250a0df4c15a9cfca0c21ac/history?token=" TargetMode="External"/><Relationship Id="rId2" Type="http://schemas.openxmlformats.org/officeDocument/2006/relationships/hyperlink" Target="https://etherscan.io/tx/0x72d855932534ca55ae820f5ed17de8ac729b1f05b093352b5bca19dcf868f26f" TargetMode="External"/><Relationship Id="rId3" Type="http://schemas.openxmlformats.org/officeDocument/2006/relationships/hyperlink" Target="https://etherscan.io/tx/0xd5a730adbe95e809d765372997260dd7057e959399e9b41d415816218de3686d"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ebank.com/profile/0xfa5f6ed82ae1eac484b91ccde42fe7d64cb68d03/history" TargetMode="External"/><Relationship Id="rId2" Type="http://schemas.openxmlformats.org/officeDocument/2006/relationships/hyperlink" Target="https://etherscan.io/tx/0x3f58b9738767a04a8d4701052cbfa378f7cdf9d8a0cfac34b43b0d62f766a7e8"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bank.com/profile/0xf40c09c782c74e932b81473ae68b078f31a358f6/history" TargetMode="External"/><Relationship Id="rId2" Type="http://schemas.openxmlformats.org/officeDocument/2006/relationships/hyperlink" Target="https://etherscan.io/tx/0x85955c171d41591fb52b85f3e4135704f2afb4305ea9ceee1de1ba503703e7f1" TargetMode="External"/><Relationship Id="rId3"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s>
  <sheetData>
    <row r="1">
      <c r="C1" s="1" t="s">
        <v>0</v>
      </c>
      <c r="D1" s="2">
        <f>SUM(E5:E18)</f>
        <v>1675929.2</v>
      </c>
    </row>
    <row r="2">
      <c r="C2" s="1" t="s">
        <v>1</v>
      </c>
      <c r="D2" s="3">
        <f>sum(F5:F12,F14:F18)</f>
        <v>-884.8222</v>
      </c>
    </row>
    <row r="3">
      <c r="C3" s="1" t="s">
        <v>2</v>
      </c>
      <c r="D3" s="3">
        <f>F13</f>
        <v>-8.6</v>
      </c>
    </row>
    <row r="4">
      <c r="A4" s="1" t="s">
        <v>3</v>
      </c>
      <c r="B4" s="1" t="s">
        <v>4</v>
      </c>
      <c r="C4" s="1" t="s">
        <v>5</v>
      </c>
      <c r="D4" s="1" t="s">
        <v>6</v>
      </c>
      <c r="E4" s="1" t="s">
        <v>7</v>
      </c>
      <c r="F4" s="1" t="s">
        <v>8</v>
      </c>
      <c r="G4" s="1" t="s">
        <v>9</v>
      </c>
    </row>
    <row r="5">
      <c r="A5" s="3" t="str">
        <f>'0xaadd5f'!B2</f>
        <v>0xaadd5f9d0fa1411f612d75336eee5eb87092f1f0</v>
      </c>
      <c r="B5" s="4">
        <f>'0xaadd5f'!B5</f>
        <v>45128.41735</v>
      </c>
      <c r="C5" s="5" t="str">
        <f>'0xaadd5f'!C5</f>
        <v>https://etherscan.io/tx/0x655a2a55bc724718bca78b7645347f448d1ca52b9f051ac3b6b8f2e36651d204</v>
      </c>
      <c r="D5" s="3" t="str">
        <f>'0xaadd5f'!D5</f>
        <v>depositWithExpiry
THORChain 0xD37BbE5744D730a1d98d8DC97c42F0Ca46aD7146</v>
      </c>
      <c r="E5" s="2">
        <f>'0xaadd5f'!E5</f>
        <v>237313.39</v>
      </c>
      <c r="F5" s="3">
        <f>'0xaadd5f'!F5</f>
        <v>-125.4472</v>
      </c>
      <c r="G5" s="3" t="str">
        <f>'0xaadd5f'!G5</f>
        <v>ETH</v>
      </c>
      <c r="H5" s="2">
        <f>'0xaadd5f'!H5</f>
        <v>1891.74</v>
      </c>
      <c r="J5" s="1" t="s">
        <v>10</v>
      </c>
    </row>
    <row r="6">
      <c r="A6" s="3" t="str">
        <f>'0x1c0b5b8'!B5</f>
        <v>0x1c0b5b8d36587d0516839df7ebfb49ad8f3c543c</v>
      </c>
      <c r="B6" s="4">
        <f>'0x1c0b5b8'!B8</f>
        <v>45129.24457</v>
      </c>
      <c r="C6" s="5" t="str">
        <f>'0x1c0b5b8'!C8</f>
        <v>https://etherscan.io/tx/0xb5e309a09f479a87f71b1258380d8b8e62c84163364b3b06762927c476c4d655</v>
      </c>
      <c r="D6" s="3" t="str">
        <f>'0x1c0b5b8'!D8</f>
        <v>0x6a7E9ed15eA2C1C7787E68F2CA2dF68379ed437e</v>
      </c>
      <c r="E6" s="2">
        <f>'0x1c0b5b8'!E8</f>
        <v>1530.3</v>
      </c>
      <c r="F6" s="3">
        <f>'0x1c0b5b8'!F8</f>
        <v>-0.82</v>
      </c>
      <c r="G6" s="3" t="str">
        <f>'0x1c0b5b8'!G8</f>
        <v>ETH</v>
      </c>
      <c r="H6" s="2">
        <f>'0x1c0b5b8'!H8</f>
        <v>1866.22</v>
      </c>
      <c r="J6" s="1" t="s">
        <v>11</v>
      </c>
    </row>
    <row r="7">
      <c r="A7" s="3" t="str">
        <f>'0x1c0b5b8'!B5</f>
        <v>0x1c0b5b8d36587d0516839df7ebfb49ad8f3c543c</v>
      </c>
      <c r="B7" s="4">
        <f>'0x1c0b5b8'!B9</f>
        <v>45128.41402</v>
      </c>
      <c r="C7" s="5" t="str">
        <f>'0x1c0b5b8'!C9</f>
        <v>https://etherscan.io/tx/0x662e469715056d9501da5184ec4a2a466b05b3fa656c73d0fb067598b88013c2</v>
      </c>
      <c r="D7" s="3" t="str">
        <f>'0x1c0b5b8'!D9</f>
        <v>0xeEC35fd50B5E7344b3E1A7F4384b3Cb9365e204A</v>
      </c>
      <c r="E7" s="2">
        <f>'0x1c0b5b8'!E9</f>
        <v>1178554.02</v>
      </c>
      <c r="F7" s="3">
        <f>'0x1c0b5b8'!F9</f>
        <v>-623</v>
      </c>
      <c r="G7" s="3" t="str">
        <f>'0x1c0b5b8'!G9</f>
        <v>ETH</v>
      </c>
      <c r="H7" s="2">
        <f>'0x1c0b5b8'!H9</f>
        <v>1891.74</v>
      </c>
      <c r="J7" s="1" t="s">
        <v>12</v>
      </c>
    </row>
    <row r="8">
      <c r="A8" s="3" t="str">
        <f>'0x1c0b5b8'!B5</f>
        <v>0x1c0b5b8d36587d0516839df7ebfb49ad8f3c543c</v>
      </c>
      <c r="B8" s="4">
        <f>'0x1c0b5b8'!B10</f>
        <v>45128.40791</v>
      </c>
      <c r="C8" s="5" t="str">
        <f>'0x1c0b5b8'!C10</f>
        <v>https://etherscan.io/tx/0x2ed79b067f3afa2e636ae82f8c0c6cbd59d504aa7f25f146a4d22ef2186fc157</v>
      </c>
      <c r="D8" s="3" t="str">
        <f>'0x1c0b5b8'!D10</f>
        <v>0xeEC35fd50B5E7344b3E1A7F4384b3Cb9365e204A</v>
      </c>
      <c r="E8" s="2">
        <f>'0x1c0b5b8'!E10</f>
        <v>197308.48</v>
      </c>
      <c r="F8" s="3">
        <f>'0x1c0b5b8'!F10</f>
        <v>-104.3</v>
      </c>
      <c r="G8" s="3" t="str">
        <f>'0x1c0b5b8'!G10</f>
        <v>ETH</v>
      </c>
      <c r="H8" s="2">
        <f>'0x1c0b5b8'!H10</f>
        <v>1891.74</v>
      </c>
      <c r="J8" s="1" t="s">
        <v>13</v>
      </c>
    </row>
    <row r="9">
      <c r="A9" s="3" t="str">
        <f>'0x055e6b08'!C4</f>
        <v>0x055e6b081f175db1170350ba4f23e3a8e0895492</v>
      </c>
      <c r="B9" s="4">
        <f>'0x055e6b08'!C6</f>
        <v>45128.4211</v>
      </c>
      <c r="C9" s="5" t="str">
        <f>'0x055e6b08'!D6</f>
        <v>https://etherscan.io/tx/0x91a3d5976df4c7fb6d000a081855b4fc217d61d6e1b71f5c99205e7dc7c2f63f</v>
      </c>
      <c r="D9" s="3" t="str">
        <f>'0x055e6b08'!E6</f>
        <v>0x4ec986035b635d09474fc390acdf5c107dda4c70</v>
      </c>
      <c r="E9" s="2">
        <f>'0x055e6b08'!F6</f>
        <v>5372.54</v>
      </c>
      <c r="F9" s="3">
        <f>'0x055e6b08'!G6</f>
        <v>-2.84</v>
      </c>
      <c r="G9" s="3" t="str">
        <f>'0x055e6b08'!H6</f>
        <v>ETH</v>
      </c>
      <c r="H9" s="2">
        <f>'0x055e6b08'!I6</f>
        <v>1891.74</v>
      </c>
      <c r="J9" s="1" t="s">
        <v>14</v>
      </c>
    </row>
    <row r="10">
      <c r="A10" s="3" t="str">
        <f>'0xd20a9'!B5</f>
        <v>0xd20a9ed00e37fdaef0a064bc32feb10845053f09</v>
      </c>
      <c r="B10" s="4">
        <f>'0xd20a9'!B8</f>
        <v>45128.42541</v>
      </c>
      <c r="C10" s="5" t="str">
        <f>'0xd20a9'!C8</f>
        <v>https://etherscan.io/tx/0xc2235fdf93d6ed97f17ea248d40fbc6c910cb502a63c75f0bb131bbb0fb465a8</v>
      </c>
      <c r="D10" s="3" t="str">
        <f>'0xd20a9'!D8</f>
        <v>0xb7917ee3520c4aa56add5d55f6026edeebe99d02</v>
      </c>
      <c r="E10" s="2">
        <f>'0xd20a9'!E8</f>
        <v>12203.61</v>
      </c>
      <c r="F10" s="3">
        <f>'0xd20a9'!F8</f>
        <v>-6.451</v>
      </c>
      <c r="G10" s="3" t="str">
        <f>'0xd20a9'!G8</f>
        <v>ETH</v>
      </c>
      <c r="H10" s="2">
        <f>'0xd20a9'!H8</f>
        <v>1891.74</v>
      </c>
      <c r="J10" s="1" t="s">
        <v>15</v>
      </c>
    </row>
    <row r="11">
      <c r="A11" s="3" t="str">
        <f>'0xa30e54c'!B5</f>
        <v>0xa30e54cb3593c6afca653621c4d3ee2105f015aa</v>
      </c>
      <c r="B11" s="4">
        <f>'0xa30e54c'!B8</f>
        <v>45128.42304</v>
      </c>
      <c r="C11" s="5" t="str">
        <f>'0xa30e54c'!C8</f>
        <v>https://etherscan.io/tx/0x931ebd9671d532e81ef15211ce16e193615765747e4a906d9dabb278f792f2f3</v>
      </c>
      <c r="D11" s="3" t="str">
        <f>'0xa30e54c'!D8</f>
        <v>0xbdC4b2D85d9DCC42C3799b4569bd1D7D25D29C03</v>
      </c>
      <c r="E11" s="2">
        <f>'0xa30e54c'!E8</f>
        <v>11445.03</v>
      </c>
      <c r="F11" s="3">
        <f>'0xa30e54c'!F8</f>
        <v>-6.05</v>
      </c>
      <c r="G11" s="3" t="str">
        <f>'0xa30e54c'!G8</f>
        <v>ETH</v>
      </c>
      <c r="H11" s="6">
        <f>'0xa30e54c'!H8</f>
        <v>1891.74</v>
      </c>
      <c r="J11" s="1" t="s">
        <v>16</v>
      </c>
    </row>
    <row r="12">
      <c r="A12" s="3" t="str">
        <f>'0xdFb05'!B5</f>
        <v>0xdFb05c98320D126Bcc74F6EB7960E99669dcd49a</v>
      </c>
      <c r="B12" s="4">
        <f>'0xdFb05'!B8</f>
        <v>45128.42554</v>
      </c>
      <c r="C12" s="5" t="str">
        <f>'0xdFb05'!C8</f>
        <v>https://etherscan.io/tx/0x0fa037ee4e0a99004dd98ca4827a9aaa9e45e56acd2b74334f09b16ad57050c3</v>
      </c>
      <c r="D12" s="3" t="str">
        <f>'0xdFb05'!D8</f>
        <v>0xB7917eE3520C4AA56ADd5d55f6026EdeEBE99d02</v>
      </c>
      <c r="E12" s="2">
        <f>'0xdFb05'!E8</f>
        <v>3541.34</v>
      </c>
      <c r="F12" s="3">
        <f>'0xdFb05'!F8</f>
        <v>-1.872</v>
      </c>
      <c r="G12" s="3" t="str">
        <f>'0xdFb05'!G8</f>
        <v>ETH</v>
      </c>
      <c r="H12" s="6">
        <f>'0xdFb05'!H8</f>
        <v>1891.74</v>
      </c>
      <c r="J12" s="1" t="s">
        <v>17</v>
      </c>
    </row>
    <row r="13">
      <c r="A13" s="3" t="str">
        <f>'0x9Dc08'!B5</f>
        <v>0x9Dc08Da4cBF74F81CFfb54CECbD8fDf6554E1D34</v>
      </c>
      <c r="B13" s="4">
        <f>'0x9Dc08'!B8</f>
        <v>45128.60856</v>
      </c>
      <c r="C13" s="5" t="str">
        <f>'0x9Dc08'!C8</f>
        <v>https://bscscan.com/tx/0x266ef6a62efc7fc3e6e8c9e4c0d31f844208429d9e3b58f5d998f8da58c230d1</v>
      </c>
      <c r="D13" s="3" t="str">
        <f>'0x9Dc08'!D8</f>
        <v>0x08178b429CA29853fa33014F635D12bD7f706297</v>
      </c>
      <c r="E13" s="2">
        <f>'0x9Dc08'!E8</f>
        <v>2096.68</v>
      </c>
      <c r="F13" s="3">
        <f>'0x9Dc08'!F8</f>
        <v>-8.6</v>
      </c>
      <c r="G13" s="3" t="str">
        <f>'0x9Dc08'!G8</f>
        <v>BNB</v>
      </c>
      <c r="H13" s="2">
        <f>'0x9Dc08'!H8</f>
        <v>243.8</v>
      </c>
      <c r="J13" s="1" t="s">
        <v>18</v>
      </c>
    </row>
    <row r="14">
      <c r="A14" s="1" t="str">
        <f>'0x9Dc08'!B5</f>
        <v>0x9Dc08Da4cBF74F81CFfb54CECbD8fDf6554E1D34</v>
      </c>
      <c r="B14" s="4">
        <f>'0x9Dc08'!B9</f>
        <v>45128.4261</v>
      </c>
      <c r="C14" s="5" t="str">
        <f>'0x9Dc08'!C9</f>
        <v>https://etherscan.io/tx/0xa2dc0cff0e555bf26d8044e39e92071e69587e62bfe4128f827b0eb9bdfc8681</v>
      </c>
      <c r="D14" s="3" t="str">
        <f>'0x9Dc08'!D9</f>
        <v>0xB7917eE3520C4AA56ADd5d55f6026EdeEBE99d02</v>
      </c>
      <c r="E14" s="2">
        <f>'0x9Dc08'!E9</f>
        <v>2971.92</v>
      </c>
      <c r="F14" s="3">
        <f>'0x9Dc08'!F9</f>
        <v>-1.571</v>
      </c>
      <c r="G14" s="3" t="str">
        <f>'0x9Dc08'!G9</f>
        <v>ETH</v>
      </c>
      <c r="H14" s="6">
        <f>'0x9Dc08'!H9</f>
        <v>1891.74</v>
      </c>
      <c r="J14" s="1" t="s">
        <v>19</v>
      </c>
    </row>
    <row r="15">
      <c r="A15" s="3" t="str">
        <f>'0x265626'!B5</f>
        <v>0x2656269bb878ca0c4250a0df4c15a9cfca0c21ac</v>
      </c>
      <c r="B15" s="4">
        <f>'0x265626'!B8</f>
        <v>45128.62207</v>
      </c>
      <c r="C15" s="5" t="str">
        <f>'0x265626'!C8</f>
        <v>https://etherscan.io/tx/0x72d855932534ca55ae820f5ed17de8ac729b1f05b093352b5bca19dcf868f26f</v>
      </c>
      <c r="D15" s="3" t="str">
        <f>'0x265626'!D8</f>
        <v>0x09066E7857D3a9a53c9142f8a7eFFcBc7989F1B5</v>
      </c>
      <c r="E15" s="2">
        <f>'0x265626'!E8</f>
        <v>7358.87</v>
      </c>
      <c r="F15" s="2">
        <f>'0x265626'!F8</f>
        <v>-3.89</v>
      </c>
      <c r="G15" s="2" t="str">
        <f>'0x265626'!G8</f>
        <v>ETH</v>
      </c>
      <c r="H15" s="2">
        <f>'0x265626'!H8</f>
        <v>1891.74</v>
      </c>
      <c r="J15" s="1" t="s">
        <v>20</v>
      </c>
    </row>
    <row r="16">
      <c r="A16" s="3" t="str">
        <f>'0x265626'!B5</f>
        <v>0x2656269bb878ca0c4250a0df4c15a9cfca0c21ac</v>
      </c>
      <c r="B16" s="4">
        <f>'0x265626'!B9</f>
        <v>45128.42638</v>
      </c>
      <c r="C16" s="5" t="str">
        <f>'0x265626'!C9</f>
        <v>https://etherscan.io/tx/0xd5a730adbe95e809d765372997260dd7057e959399e9b41d415816218de3686d</v>
      </c>
      <c r="D16" s="3" t="str">
        <f>'0x265626'!D9</f>
        <v>0xB7917eE3520C4AA56ADd5d55f6026EdeEBE99d02</v>
      </c>
      <c r="E16" s="2">
        <f>'0x265626'!E9</f>
        <v>1413.13</v>
      </c>
      <c r="F16" s="3">
        <f>'0x265626'!F9</f>
        <v>-0.747</v>
      </c>
      <c r="G16" s="3" t="str">
        <f>'0x265626'!G9</f>
        <v>ETH</v>
      </c>
      <c r="H16" s="2">
        <f>'0x265626'!H9</f>
        <v>1891.74</v>
      </c>
      <c r="J16" s="1" t="s">
        <v>21</v>
      </c>
    </row>
    <row r="17">
      <c r="A17" s="3" t="str">
        <f>'0xFA5F6e'!B5</f>
        <v>0xFA5F6eD82Ae1EAC484B91cCDE42fe7d64cb68D03</v>
      </c>
      <c r="B17" s="7">
        <f>'0xFA5F6e'!B8</f>
        <v>45128.42499</v>
      </c>
      <c r="C17" s="8" t="str">
        <f>'0xFA5F6e'!C8</f>
        <v>https://etherscan.io/tx/0x3f58b9738767a04a8d4701052cbfa378f7cdf9d8a0cfac34b43b0d62f766a7e8</v>
      </c>
      <c r="D17" s="1" t="str">
        <f>'0xFA5F6e'!D8</f>
        <v>0xB7917eE3520C4AA56ADd5d55f6026EdeEBE99d02</v>
      </c>
      <c r="E17" s="9">
        <f>'0xFA5F6e'!E8</f>
        <v>9496.53</v>
      </c>
      <c r="F17" s="1">
        <f>'0xFA5F6e'!F8</f>
        <v>-5.02</v>
      </c>
      <c r="G17" s="1" t="str">
        <f>'0xFA5F6e'!G8</f>
        <v>ETH</v>
      </c>
      <c r="H17" s="9">
        <f>'0xFA5F6e'!H8</f>
        <v>1891.74</v>
      </c>
      <c r="J17" s="1" t="s">
        <v>22</v>
      </c>
    </row>
    <row r="18">
      <c r="A18" s="3" t="str">
        <f>'0xf40c0'!B5</f>
        <v>0xf40c09C782C74e932b81473ae68B078F31a358f6</v>
      </c>
      <c r="B18" s="4">
        <f>'0xf40c0'!B8</f>
        <v>45128.42582</v>
      </c>
      <c r="C18" s="5" t="str">
        <f>'0xf40c0'!C8</f>
        <v>https://etherscan.io/tx/0x85955c171d41591fb52b85f3e4135704f2afb4305ea9ceee1de1ba503703e7f1</v>
      </c>
      <c r="D18" s="3" t="str">
        <f>'0xf40c0'!D8</f>
        <v>0xB7917eE3520C4AA56ADd5d55f6026EdeEBE99d02</v>
      </c>
      <c r="E18" s="2">
        <f>'0xf40c0'!E8</f>
        <v>5323.36</v>
      </c>
      <c r="F18" s="3">
        <f>'0xf40c0'!F8</f>
        <v>-2.814</v>
      </c>
      <c r="G18" s="3" t="str">
        <f>'0xf40c0'!G8</f>
        <v>ETH</v>
      </c>
      <c r="H18" s="2">
        <f>'0xf40c0'!H8</f>
        <v>1891.74</v>
      </c>
      <c r="J18" s="1" t="s">
        <v>23</v>
      </c>
    </row>
    <row r="20">
      <c r="A20" s="1" t="s">
        <v>24</v>
      </c>
    </row>
    <row r="21">
      <c r="A21" s="1"/>
    </row>
    <row r="22">
      <c r="A22" s="1"/>
    </row>
    <row r="23">
      <c r="A23" s="1" t="s">
        <v>25</v>
      </c>
    </row>
    <row r="24">
      <c r="A24" s="3" t="str">
        <f t="array" ref="A24:A33">UNIQUE(A5:A18)</f>
        <v>0xaadd5f9d0fa1411f612d75336eee5eb87092f1f0</v>
      </c>
    </row>
    <row r="25">
      <c r="A25" s="3" t="s">
        <v>26</v>
      </c>
    </row>
    <row r="26">
      <c r="A26" s="3" t="s">
        <v>27</v>
      </c>
    </row>
    <row r="27">
      <c r="A27" s="3" t="s">
        <v>28</v>
      </c>
    </row>
    <row r="28">
      <c r="A28" s="3" t="s">
        <v>29</v>
      </c>
    </row>
    <row r="29">
      <c r="A29" s="3" t="s">
        <v>30</v>
      </c>
    </row>
    <row r="30">
      <c r="A30" s="3" t="s">
        <v>31</v>
      </c>
    </row>
    <row r="31">
      <c r="A31" s="3" t="s">
        <v>32</v>
      </c>
    </row>
    <row r="32">
      <c r="A32" s="3" t="s">
        <v>33</v>
      </c>
    </row>
    <row r="33">
      <c r="A33" s="3" t="s">
        <v>34</v>
      </c>
    </row>
    <row r="35">
      <c r="A35" s="1" t="s">
        <v>35</v>
      </c>
    </row>
    <row r="36">
      <c r="A36" s="10" t="s">
        <v>36</v>
      </c>
    </row>
    <row r="37">
      <c r="A37" s="1" t="s">
        <v>37</v>
      </c>
    </row>
    <row r="38">
      <c r="A38" s="10" t="s">
        <v>38</v>
      </c>
    </row>
    <row r="39">
      <c r="A39" s="1" t="s">
        <v>39</v>
      </c>
    </row>
    <row r="40">
      <c r="A40" s="1" t="s">
        <v>40</v>
      </c>
      <c r="B40" s="1" t="s">
        <v>41</v>
      </c>
      <c r="C40" s="1" t="s">
        <v>42</v>
      </c>
      <c r="D40" s="1" t="s">
        <v>43</v>
      </c>
      <c r="E40" s="1" t="s">
        <v>44</v>
      </c>
    </row>
    <row r="41">
      <c r="E41" s="1" t="s">
        <v>45</v>
      </c>
    </row>
    <row r="42">
      <c r="A42" s="10" t="s">
        <v>46</v>
      </c>
      <c r="B42" s="11" t="s">
        <v>47</v>
      </c>
      <c r="C42" s="1">
        <v>3.88</v>
      </c>
      <c r="D42" s="8" t="s">
        <v>48</v>
      </c>
      <c r="E42" s="1" t="s">
        <v>49</v>
      </c>
    </row>
    <row r="43">
      <c r="A43" s="1" t="s">
        <v>50</v>
      </c>
      <c r="B43" s="1" t="s">
        <v>51</v>
      </c>
      <c r="C43" s="1">
        <v>2.84</v>
      </c>
      <c r="D43" s="8" t="s">
        <v>52</v>
      </c>
      <c r="E43" s="1" t="s">
        <v>53</v>
      </c>
    </row>
    <row r="44">
      <c r="A44" s="1" t="s">
        <v>54</v>
      </c>
      <c r="B44" s="11" t="s">
        <v>55</v>
      </c>
      <c r="C44" s="1">
        <v>3.89</v>
      </c>
      <c r="D44" s="8" t="s">
        <v>56</v>
      </c>
      <c r="E44" s="1" t="s">
        <v>57</v>
      </c>
    </row>
    <row r="45">
      <c r="A45" s="1" t="s">
        <v>58</v>
      </c>
      <c r="B45" s="11" t="s">
        <v>59</v>
      </c>
      <c r="C45" s="1">
        <v>0.82</v>
      </c>
      <c r="D45" s="8" t="s">
        <v>60</v>
      </c>
      <c r="E45" s="1" t="s">
        <v>61</v>
      </c>
    </row>
    <row r="46">
      <c r="B46" s="12" t="s">
        <v>62</v>
      </c>
      <c r="C46" s="13">
        <f>sum(C42:C45)</f>
        <v>11.43</v>
      </c>
    </row>
    <row r="49">
      <c r="A49" s="1" t="s">
        <v>63</v>
      </c>
    </row>
    <row r="50">
      <c r="A50" s="10" t="s">
        <v>64</v>
      </c>
    </row>
    <row r="51">
      <c r="A51" s="1" t="s">
        <v>65</v>
      </c>
    </row>
    <row r="52">
      <c r="A52" s="1" t="s">
        <v>66</v>
      </c>
      <c r="B52" s="10" t="s">
        <v>67</v>
      </c>
    </row>
    <row r="53">
      <c r="A53" s="10" t="s">
        <v>68</v>
      </c>
    </row>
    <row r="55">
      <c r="A55" s="1" t="s">
        <v>69</v>
      </c>
    </row>
    <row r="56">
      <c r="A56" s="10" t="s">
        <v>70</v>
      </c>
      <c r="B56" s="10" t="s">
        <v>71</v>
      </c>
    </row>
    <row r="57">
      <c r="A57" s="10" t="s">
        <v>72</v>
      </c>
    </row>
  </sheetData>
  <hyperlinks>
    <hyperlink r:id="rId1" ref="A36"/>
    <hyperlink r:id="rId2" ref="A38"/>
    <hyperlink r:id="rId3" ref="A42"/>
    <hyperlink r:id="rId4" ref="D42"/>
    <hyperlink r:id="rId5" ref="D43"/>
    <hyperlink r:id="rId6" ref="D44"/>
    <hyperlink r:id="rId7" ref="D45"/>
    <hyperlink r:id="rId8" ref="A50"/>
    <hyperlink r:id="rId9" ref="B52"/>
    <hyperlink r:id="rId10" ref="A53"/>
    <hyperlink r:id="rId11" ref="A56"/>
    <hyperlink r:id="rId12" ref="B56"/>
    <hyperlink r:id="rId13" location=":~:text=Apparently%2C%20in%20Wasabi's%20CoinJoin%20system,that%20Wasabi%20Wallet%20used%20twice." ref="A5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s>
  <sheetData>
    <row r="1">
      <c r="A1" s="1" t="s">
        <v>73</v>
      </c>
      <c r="B1" s="10" t="s">
        <v>74</v>
      </c>
      <c r="C1" s="1"/>
      <c r="E1" s="1"/>
    </row>
    <row r="2">
      <c r="A2" s="1" t="s">
        <v>3</v>
      </c>
      <c r="B2" s="1" t="s">
        <v>75</v>
      </c>
    </row>
    <row r="3">
      <c r="B3" s="1"/>
      <c r="C3" s="1"/>
      <c r="D3" s="1"/>
      <c r="E3" s="1"/>
    </row>
    <row r="4">
      <c r="B4" s="1" t="s">
        <v>4</v>
      </c>
      <c r="C4" s="1" t="s">
        <v>5</v>
      </c>
      <c r="D4" s="1" t="s">
        <v>6</v>
      </c>
      <c r="E4" s="1" t="s">
        <v>7</v>
      </c>
    </row>
    <row r="5">
      <c r="A5" s="1" t="s">
        <v>76</v>
      </c>
      <c r="B5" s="7">
        <v>45128.417349537034</v>
      </c>
      <c r="C5" s="10" t="s">
        <v>77</v>
      </c>
      <c r="D5" s="1" t="s">
        <v>78</v>
      </c>
      <c r="E5" s="9">
        <v>237313.39</v>
      </c>
      <c r="F5" s="1">
        <v>-125.4472</v>
      </c>
      <c r="G5" s="1" t="s">
        <v>76</v>
      </c>
      <c r="H5" s="14">
        <v>1891.74</v>
      </c>
    </row>
    <row r="6">
      <c r="B6" s="15"/>
      <c r="D6" s="16"/>
      <c r="E6" s="9"/>
      <c r="F6" s="17"/>
    </row>
    <row r="7">
      <c r="B7" s="18"/>
    </row>
    <row r="13">
      <c r="B13" s="19"/>
    </row>
  </sheetData>
  <hyperlinks>
    <hyperlink r:id="rId1" ref="B1"/>
    <hyperlink r:id="rId2" ref="C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79</v>
      </c>
      <c r="C4" s="1"/>
      <c r="E4" s="1"/>
    </row>
    <row r="5">
      <c r="A5" s="1" t="s">
        <v>3</v>
      </c>
      <c r="B5" s="1" t="s">
        <v>26</v>
      </c>
    </row>
    <row r="7">
      <c r="B7" s="1" t="s">
        <v>4</v>
      </c>
      <c r="C7" s="1" t="s">
        <v>5</v>
      </c>
      <c r="D7" s="1" t="s">
        <v>80</v>
      </c>
      <c r="E7" s="1" t="s">
        <v>7</v>
      </c>
    </row>
    <row r="8">
      <c r="B8" s="4">
        <v>45129.244571759256</v>
      </c>
      <c r="C8" s="10" t="s">
        <v>60</v>
      </c>
      <c r="D8" s="1" t="s">
        <v>81</v>
      </c>
      <c r="E8" s="9">
        <v>1530.3</v>
      </c>
      <c r="F8" s="1">
        <v>-0.82</v>
      </c>
      <c r="G8" s="1" t="s">
        <v>76</v>
      </c>
      <c r="H8" s="9">
        <v>1866.22</v>
      </c>
    </row>
    <row r="9">
      <c r="B9" s="7">
        <v>45128.4140162037</v>
      </c>
      <c r="C9" s="10" t="s">
        <v>82</v>
      </c>
      <c r="D9" s="1" t="s">
        <v>83</v>
      </c>
      <c r="E9" s="9">
        <v>1178554.02</v>
      </c>
      <c r="F9" s="1">
        <v>-623.0</v>
      </c>
      <c r="G9" s="1" t="s">
        <v>76</v>
      </c>
      <c r="H9" s="20">
        <v>1891.74</v>
      </c>
    </row>
    <row r="10">
      <c r="B10" s="7">
        <v>45128.407905092594</v>
      </c>
      <c r="C10" s="10" t="s">
        <v>84</v>
      </c>
      <c r="D10" s="1" t="s">
        <v>83</v>
      </c>
      <c r="E10" s="9">
        <v>197308.48</v>
      </c>
      <c r="F10" s="1">
        <v>-104.3</v>
      </c>
      <c r="G10" s="1" t="s">
        <v>76</v>
      </c>
      <c r="H10" s="20">
        <v>1891.74</v>
      </c>
    </row>
  </sheetData>
  <hyperlinks>
    <hyperlink r:id="rId1" ref="B4"/>
    <hyperlink r:id="rId2" ref="C8"/>
    <hyperlink r:id="rId3" ref="C9"/>
    <hyperlink r:id="rId4" ref="C10"/>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73</v>
      </c>
      <c r="B3" s="10" t="s">
        <v>85</v>
      </c>
      <c r="C3" s="1"/>
      <c r="E3" s="1"/>
    </row>
    <row r="4">
      <c r="B4" s="1" t="s">
        <v>3</v>
      </c>
      <c r="C4" s="21" t="s">
        <v>27</v>
      </c>
    </row>
    <row r="5">
      <c r="C5" s="1" t="s">
        <v>4</v>
      </c>
      <c r="D5" s="1" t="s">
        <v>5</v>
      </c>
      <c r="E5" s="1" t="s">
        <v>86</v>
      </c>
      <c r="F5" s="1" t="s">
        <v>7</v>
      </c>
      <c r="I5" s="1" t="s">
        <v>86</v>
      </c>
    </row>
    <row r="6">
      <c r="C6" s="7">
        <v>45128.42109953704</v>
      </c>
      <c r="D6" s="8" t="s">
        <v>52</v>
      </c>
      <c r="E6" s="1" t="s">
        <v>87</v>
      </c>
      <c r="F6" s="9">
        <v>5372.54</v>
      </c>
      <c r="G6" s="1">
        <v>-2.84</v>
      </c>
      <c r="H6" s="1" t="s">
        <v>76</v>
      </c>
      <c r="I6" s="9">
        <v>1891.74</v>
      </c>
    </row>
  </sheetData>
  <hyperlinks>
    <hyperlink r:id="rId1" ref="B3"/>
    <hyperlink r:id="rId2" ref="D6"/>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88</v>
      </c>
      <c r="C4" s="1"/>
      <c r="E4" s="1"/>
    </row>
    <row r="5">
      <c r="A5" s="1" t="s">
        <v>3</v>
      </c>
      <c r="B5" s="1" t="s">
        <v>28</v>
      </c>
    </row>
    <row r="7">
      <c r="B7" s="1" t="s">
        <v>4</v>
      </c>
      <c r="C7" s="1" t="s">
        <v>5</v>
      </c>
      <c r="D7" s="1" t="s">
        <v>89</v>
      </c>
      <c r="E7" s="1" t="s">
        <v>7</v>
      </c>
    </row>
    <row r="8">
      <c r="B8" s="7">
        <v>45128.425405092596</v>
      </c>
      <c r="C8" s="10" t="s">
        <v>90</v>
      </c>
      <c r="D8" s="1" t="s">
        <v>91</v>
      </c>
      <c r="E8" s="9">
        <v>12203.61</v>
      </c>
      <c r="F8" s="1">
        <v>-6.451</v>
      </c>
      <c r="G8" s="1" t="s">
        <v>76</v>
      </c>
      <c r="H8" s="14">
        <v>1891.74</v>
      </c>
    </row>
    <row r="11">
      <c r="B11" s="4"/>
      <c r="C11" s="22"/>
      <c r="D11" s="9"/>
      <c r="F11" s="9"/>
      <c r="G11" s="9"/>
    </row>
    <row r="12">
      <c r="B12" s="7"/>
      <c r="C12" s="22"/>
      <c r="D12" s="9"/>
      <c r="F12" s="20"/>
      <c r="G12" s="20"/>
    </row>
    <row r="13">
      <c r="B13" s="7"/>
      <c r="C13" s="22"/>
      <c r="D13" s="9"/>
      <c r="F13" s="20"/>
      <c r="G13" s="20"/>
    </row>
  </sheetData>
  <hyperlinks>
    <hyperlink r:id="rId1" ref="B4"/>
    <hyperlink r:id="rId2" ref="C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92</v>
      </c>
      <c r="C4" s="1"/>
      <c r="E4" s="1"/>
    </row>
    <row r="5">
      <c r="A5" s="1" t="s">
        <v>3</v>
      </c>
      <c r="B5" s="1" t="s">
        <v>29</v>
      </c>
    </row>
    <row r="7">
      <c r="B7" s="1" t="s">
        <v>4</v>
      </c>
      <c r="C7" s="1" t="s">
        <v>5</v>
      </c>
      <c r="D7" s="1" t="s">
        <v>89</v>
      </c>
      <c r="E7" s="1" t="s">
        <v>7</v>
      </c>
    </row>
    <row r="8">
      <c r="B8" s="18">
        <v>45128.42304398148</v>
      </c>
      <c r="C8" s="8" t="s">
        <v>48</v>
      </c>
      <c r="D8" s="1" t="s">
        <v>49</v>
      </c>
      <c r="E8" s="9">
        <v>11445.03</v>
      </c>
      <c r="F8" s="23">
        <v>-6.05</v>
      </c>
      <c r="G8" s="23" t="s">
        <v>76</v>
      </c>
      <c r="H8" s="24">
        <v>1891.74</v>
      </c>
    </row>
    <row r="9">
      <c r="B9" s="7"/>
      <c r="C9" s="22"/>
      <c r="E9" s="9"/>
      <c r="H9" s="14"/>
    </row>
    <row r="11">
      <c r="B11" s="4"/>
      <c r="C11" s="22"/>
      <c r="D11" s="9"/>
      <c r="F11" s="9"/>
      <c r="G11" s="9"/>
    </row>
    <row r="12">
      <c r="B12" s="7"/>
      <c r="C12" s="22"/>
      <c r="D12" s="9"/>
      <c r="F12" s="20"/>
      <c r="G12" s="20"/>
    </row>
    <row r="13">
      <c r="B13" s="7"/>
      <c r="C13" s="22"/>
      <c r="D13" s="9"/>
      <c r="F13" s="20"/>
      <c r="G13" s="20"/>
    </row>
  </sheetData>
  <hyperlinks>
    <hyperlink r:id="rId1" ref="B4"/>
    <hyperlink r:id="rId2" ref="C8"/>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93</v>
      </c>
      <c r="C4" s="1"/>
      <c r="E4" s="1"/>
    </row>
    <row r="5">
      <c r="A5" s="1" t="s">
        <v>3</v>
      </c>
      <c r="B5" s="1" t="s">
        <v>30</v>
      </c>
    </row>
    <row r="7">
      <c r="B7" s="1" t="s">
        <v>4</v>
      </c>
      <c r="C7" s="1" t="s">
        <v>5</v>
      </c>
      <c r="D7" s="1" t="s">
        <v>89</v>
      </c>
      <c r="E7" s="1" t="s">
        <v>7</v>
      </c>
    </row>
    <row r="8">
      <c r="B8" s="18">
        <v>45128.42554398148</v>
      </c>
      <c r="C8" s="8" t="s">
        <v>94</v>
      </c>
      <c r="D8" s="1" t="s">
        <v>95</v>
      </c>
      <c r="E8" s="9">
        <v>3541.34</v>
      </c>
      <c r="F8" s="23">
        <v>-1.872</v>
      </c>
      <c r="G8" s="23" t="s">
        <v>76</v>
      </c>
      <c r="H8" s="25">
        <v>1891.74</v>
      </c>
    </row>
    <row r="9">
      <c r="B9" s="7"/>
      <c r="C9" s="22"/>
      <c r="E9" s="9"/>
      <c r="H9" s="14"/>
    </row>
    <row r="11">
      <c r="B11" s="4"/>
      <c r="C11" s="22"/>
      <c r="D11" s="9"/>
      <c r="F11" s="9"/>
      <c r="G11" s="9"/>
    </row>
    <row r="12">
      <c r="B12" s="7"/>
      <c r="C12" s="22"/>
      <c r="D12" s="9"/>
      <c r="F12" s="20"/>
      <c r="G12" s="20"/>
    </row>
    <row r="13">
      <c r="B13" s="7"/>
      <c r="C13" s="22"/>
      <c r="D13" s="9"/>
      <c r="F13" s="20"/>
      <c r="G13" s="20"/>
    </row>
  </sheetData>
  <hyperlinks>
    <hyperlink r:id="rId1" ref="B4"/>
    <hyperlink r:id="rId2" ref="C8"/>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96</v>
      </c>
      <c r="C4" s="1"/>
      <c r="E4" s="1"/>
    </row>
    <row r="5">
      <c r="A5" s="1" t="s">
        <v>3</v>
      </c>
      <c r="B5" s="1" t="s">
        <v>31</v>
      </c>
    </row>
    <row r="7">
      <c r="B7" s="1" t="s">
        <v>4</v>
      </c>
      <c r="C7" s="1" t="s">
        <v>5</v>
      </c>
      <c r="D7" s="1" t="s">
        <v>89</v>
      </c>
      <c r="E7" s="1" t="s">
        <v>7</v>
      </c>
    </row>
    <row r="8">
      <c r="B8" s="18">
        <v>45128.608564814815</v>
      </c>
      <c r="C8" s="10" t="s">
        <v>97</v>
      </c>
      <c r="D8" s="1" t="s">
        <v>98</v>
      </c>
      <c r="E8" s="9">
        <v>2096.68</v>
      </c>
      <c r="F8" s="26">
        <v>-8.6</v>
      </c>
      <c r="G8" s="26" t="s">
        <v>99</v>
      </c>
      <c r="H8" s="14">
        <v>243.8</v>
      </c>
    </row>
    <row r="9">
      <c r="B9" s="18">
        <v>45128.426099537035</v>
      </c>
      <c r="C9" s="10" t="s">
        <v>100</v>
      </c>
      <c r="D9" s="1" t="s">
        <v>95</v>
      </c>
      <c r="E9" s="9">
        <v>2971.92</v>
      </c>
      <c r="F9" s="1">
        <v>-1.571</v>
      </c>
      <c r="G9" s="1" t="s">
        <v>76</v>
      </c>
      <c r="H9" s="25">
        <v>1891.74</v>
      </c>
    </row>
    <row r="11">
      <c r="B11" s="4"/>
      <c r="C11" s="22"/>
      <c r="D11" s="9"/>
      <c r="F11" s="9"/>
      <c r="G11" s="9"/>
    </row>
    <row r="12">
      <c r="B12" s="7"/>
      <c r="C12" s="22"/>
      <c r="D12" s="9"/>
      <c r="F12" s="20"/>
      <c r="G12" s="20"/>
    </row>
    <row r="13">
      <c r="B13" s="7"/>
      <c r="C13" s="22"/>
      <c r="D13" s="9"/>
      <c r="F13" s="20"/>
      <c r="G13" s="20"/>
    </row>
  </sheetData>
  <hyperlinks>
    <hyperlink r:id="rId1" ref="B4"/>
    <hyperlink r:id="rId2" ref="C8"/>
    <hyperlink r:id="rId3" ref="C9"/>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101</v>
      </c>
      <c r="C4" s="1"/>
      <c r="E4" s="1"/>
    </row>
    <row r="5">
      <c r="A5" s="1" t="s">
        <v>3</v>
      </c>
      <c r="B5" s="1" t="s">
        <v>32</v>
      </c>
    </row>
    <row r="7">
      <c r="B7" s="1" t="s">
        <v>4</v>
      </c>
      <c r="C7" s="1" t="s">
        <v>5</v>
      </c>
      <c r="D7" s="1" t="s">
        <v>89</v>
      </c>
      <c r="E7" s="1" t="s">
        <v>7</v>
      </c>
    </row>
    <row r="8">
      <c r="B8" s="7">
        <v>45128.62207175926</v>
      </c>
      <c r="C8" s="8" t="s">
        <v>56</v>
      </c>
      <c r="D8" s="1" t="s">
        <v>57</v>
      </c>
      <c r="E8" s="27">
        <v>7358.87</v>
      </c>
      <c r="F8" s="28">
        <v>-3.89</v>
      </c>
      <c r="G8" s="28" t="s">
        <v>76</v>
      </c>
      <c r="H8" s="27">
        <v>1891.74</v>
      </c>
    </row>
    <row r="9">
      <c r="B9" s="7">
        <v>45128.42637731481</v>
      </c>
      <c r="C9" s="10" t="s">
        <v>102</v>
      </c>
      <c r="D9" s="1" t="s">
        <v>95</v>
      </c>
      <c r="E9" s="9">
        <v>1413.13</v>
      </c>
      <c r="F9" s="29">
        <v>-0.747</v>
      </c>
      <c r="G9" s="29" t="s">
        <v>76</v>
      </c>
      <c r="H9" s="9">
        <v>1891.74</v>
      </c>
    </row>
    <row r="11">
      <c r="B11" s="4"/>
      <c r="C11" s="22"/>
      <c r="D11" s="9"/>
    </row>
    <row r="12">
      <c r="B12" s="18"/>
      <c r="C12" s="22"/>
      <c r="E12" s="9"/>
      <c r="F12" s="26"/>
      <c r="G12" s="26"/>
      <c r="H12" s="14"/>
    </row>
    <row r="13">
      <c r="B13" s="18"/>
      <c r="C13" s="22"/>
      <c r="E13" s="9"/>
      <c r="H13" s="25"/>
    </row>
  </sheetData>
  <hyperlinks>
    <hyperlink r:id="rId1" ref="B4"/>
    <hyperlink r:id="rId2" ref="C8"/>
    <hyperlink r:id="rId3" ref="C9"/>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103</v>
      </c>
      <c r="C4" s="1"/>
      <c r="E4" s="1"/>
    </row>
    <row r="5">
      <c r="A5" s="1" t="s">
        <v>3</v>
      </c>
      <c r="B5" s="1" t="s">
        <v>33</v>
      </c>
    </row>
    <row r="7">
      <c r="B7" s="1" t="s">
        <v>4</v>
      </c>
      <c r="C7" s="1" t="s">
        <v>5</v>
      </c>
      <c r="D7" s="1" t="s">
        <v>89</v>
      </c>
      <c r="E7" s="1" t="s">
        <v>7</v>
      </c>
    </row>
    <row r="8">
      <c r="B8" s="18">
        <v>45128.424988425926</v>
      </c>
      <c r="C8" s="10" t="s">
        <v>104</v>
      </c>
      <c r="D8" s="1" t="s">
        <v>95</v>
      </c>
      <c r="E8" s="9">
        <v>9496.53</v>
      </c>
      <c r="F8" s="1">
        <v>-5.02</v>
      </c>
      <c r="G8" s="1" t="s">
        <v>76</v>
      </c>
      <c r="H8" s="9">
        <v>1891.74</v>
      </c>
    </row>
    <row r="10">
      <c r="B10" s="7"/>
      <c r="E10" s="27"/>
      <c r="F10" s="28"/>
      <c r="G10" s="28"/>
      <c r="H10" s="27"/>
    </row>
    <row r="11">
      <c r="B11" s="7"/>
      <c r="C11" s="22"/>
      <c r="E11" s="9"/>
      <c r="F11" s="29"/>
      <c r="G11" s="29"/>
      <c r="H11" s="9"/>
    </row>
    <row r="12">
      <c r="B12" s="18"/>
      <c r="C12" s="22"/>
      <c r="E12" s="9"/>
      <c r="F12" s="26"/>
      <c r="G12" s="26"/>
      <c r="H12" s="14"/>
    </row>
    <row r="13">
      <c r="B13" s="18"/>
      <c r="C13" s="22"/>
      <c r="E13" s="9"/>
      <c r="H13" s="25"/>
    </row>
  </sheetData>
  <hyperlinks>
    <hyperlink r:id="rId1" ref="B4"/>
    <hyperlink r:id="rId2" ref="C8"/>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4">
      <c r="A4" s="1" t="s">
        <v>73</v>
      </c>
      <c r="B4" s="10" t="s">
        <v>105</v>
      </c>
      <c r="C4" s="1"/>
      <c r="E4" s="1"/>
    </row>
    <row r="5">
      <c r="A5" s="1" t="s">
        <v>3</v>
      </c>
      <c r="B5" s="1" t="s">
        <v>34</v>
      </c>
    </row>
    <row r="7">
      <c r="B7" s="1" t="s">
        <v>4</v>
      </c>
      <c r="C7" s="1" t="s">
        <v>5</v>
      </c>
      <c r="D7" s="1" t="s">
        <v>89</v>
      </c>
      <c r="E7" s="1" t="s">
        <v>7</v>
      </c>
    </row>
    <row r="8">
      <c r="B8" s="18">
        <v>45128.42582175926</v>
      </c>
      <c r="C8" s="8" t="s">
        <v>106</v>
      </c>
      <c r="D8" s="1" t="s">
        <v>95</v>
      </c>
      <c r="E8" s="9">
        <v>5323.36</v>
      </c>
      <c r="F8" s="1">
        <v>-2.814</v>
      </c>
      <c r="G8" s="1" t="s">
        <v>76</v>
      </c>
      <c r="H8" s="14">
        <v>1891.74</v>
      </c>
    </row>
    <row r="9">
      <c r="F9" s="19"/>
      <c r="G9" s="19"/>
    </row>
    <row r="10">
      <c r="B10" s="7"/>
      <c r="E10" s="27"/>
      <c r="F10" s="28"/>
      <c r="G10" s="28"/>
      <c r="H10" s="27"/>
    </row>
    <row r="11">
      <c r="B11" s="7"/>
      <c r="C11" s="22"/>
      <c r="E11" s="9"/>
      <c r="F11" s="29"/>
      <c r="G11" s="29"/>
      <c r="H11" s="9"/>
    </row>
    <row r="12">
      <c r="B12" s="18"/>
      <c r="C12" s="22"/>
      <c r="E12" s="9"/>
      <c r="H12" s="14"/>
    </row>
    <row r="13">
      <c r="B13" s="18"/>
      <c r="C13" s="22"/>
      <c r="E13" s="9"/>
      <c r="H13" s="25"/>
    </row>
  </sheetData>
  <hyperlinks>
    <hyperlink r:id="rId1" ref="B4"/>
    <hyperlink r:id="rId2" ref="C8"/>
  </hyperlinks>
  <drawing r:id="rId3"/>
</worksheet>
</file>